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fir\myFiles\Projects\DL\finel project\"/>
    </mc:Choice>
  </mc:AlternateContent>
  <xr:revisionPtr revIDLastSave="0" documentId="13_ncr:1_{8D26DB7B-C10D-40C0-B1A0-10E043A054E0}" xr6:coauthVersionLast="47" xr6:coauthVersionMax="47" xr10:uidLastSave="{00000000-0000-0000-0000-000000000000}"/>
  <bookViews>
    <workbookView xWindow="-110" yWindow="-110" windowWidth="19420" windowHeight="10420" xr2:uid="{9E908AF6-9B43-4DA4-99AE-8B59DC122672}"/>
  </bookViews>
  <sheets>
    <sheet name="real time twe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2" i="1"/>
  <c r="V3" i="1"/>
  <c r="V4" i="1"/>
  <c r="V5" i="1"/>
  <c r="V6" i="1"/>
  <c r="S11" i="1"/>
  <c r="T11" i="1"/>
  <c r="U11" i="1"/>
  <c r="S7" i="1"/>
  <c r="T7" i="1"/>
  <c r="U7" i="1"/>
  <c r="S8" i="1"/>
  <c r="T8" i="1"/>
  <c r="U8" i="1"/>
  <c r="S9" i="1"/>
  <c r="T9" i="1"/>
  <c r="U9" i="1"/>
  <c r="S10" i="1"/>
  <c r="T10" i="1"/>
  <c r="U10" i="1"/>
  <c r="S3" i="1"/>
  <c r="T3" i="1"/>
  <c r="U3" i="1"/>
  <c r="S4" i="1"/>
  <c r="T4" i="1"/>
  <c r="U4" i="1"/>
  <c r="S5" i="1"/>
  <c r="T5" i="1"/>
  <c r="U5" i="1"/>
  <c r="S6" i="1"/>
  <c r="T6" i="1"/>
  <c r="U6" i="1"/>
  <c r="S2" i="1"/>
  <c r="U2" i="1"/>
  <c r="M4" i="1"/>
  <c r="T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  <c r="N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N3" i="1"/>
  <c r="M3" i="1"/>
  <c r="M2" i="1"/>
  <c r="J3" i="1"/>
  <c r="J4" i="1"/>
  <c r="J5" i="1"/>
  <c r="J6" i="1"/>
  <c r="J7" i="1"/>
  <c r="J8" i="1"/>
  <c r="J9" i="1"/>
  <c r="J10" i="1"/>
  <c r="J11" i="1"/>
  <c r="J2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<sst xmlns="http://schemas.openxmlformats.org/spreadsheetml/2006/main" count="143" uniqueCount="49">
  <si>
    <t>id</t>
  </si>
  <si>
    <t>Text</t>
  </si>
  <si>
    <t>created_at</t>
  </si>
  <si>
    <t>Roberta</t>
  </si>
  <si>
    <t>Distilbert</t>
  </si>
  <si>
    <t>$AAPL $SPY $QQQ let the fun begin.....</t>
  </si>
  <si>
    <t>2025-01-18T17:03:06Z</t>
  </si>
  <si>
    <t>Neutral</t>
  </si>
  <si>
    <t>Bearish</t>
  </si>
  <si>
    <t>$AAPL Apple Stock Prediction 2025, 2026, 2030</t>
  </si>
  <si>
    <t>2025-01-18T16:59:54Z</t>
  </si>
  <si>
    <t>$AAPL no they are not, and plton is not the next &amp;quot;carvana&amp;quot;</t>
  </si>
  <si>
    <t>2025-01-18T16:54:15Z</t>
  </si>
  <si>
    <t>Bullish</t>
  </si>
  <si>
    <t>$AAPL $SPY $QQQ Biden&amp;#39;s last CPA with fake number set up explosion up only to trap bull here.. 
 Data is always gambly but big picture still remains the same. 
 Safe trading everyone :)</t>
  </si>
  <si>
    <t>2025-01-18T16:49:08Z</t>
  </si>
  <si>
    <t>$AAPL 🎯💯👇Since alert - it is oversold now. Could bounce to 240 into ER and then potential path is down towards 217.</t>
  </si>
  <si>
    <t>2025-01-18T16:48:24Z</t>
  </si>
  <si>
    <t>$AAPL $AMZN $GOOGL $NVDA et al. This week&amp;#39;s lotto trades and results for Jan 13 - 17. #ConsistentProfits #BluevilleCapital</t>
  </si>
  <si>
    <t>2025-01-18T16:27:27Z</t>
  </si>
  <si>
    <t>I think it&amp;#39;s very clear why I only buy when H% is low. The results speak for themselves.
I made this so that anyone here can see what low H% is and how I use it.
$SPY $AAPL $AMZN $NFLX $V</t>
  </si>
  <si>
    <t>2025-01-18T15:01:15Z</t>
  </si>
  <si>
    <t>$pltr is 39% from  $100 per  share!!!   Dan Ives told CNBC  FRANK CONSUMER  $Ai goes  through $aapl and  not  $meta !!!  Dr  Karp  should  do  BOTH!!!</t>
  </si>
  <si>
    <t>2025-01-18T14:54:12Z</t>
  </si>
  <si>
    <t>$AAPL apple is buying TikTok</t>
  </si>
  <si>
    <t>2025-01-18T14:52:27Z</t>
  </si>
  <si>
    <t>2025-01-18T14:44:23Z</t>
  </si>
  <si>
    <t>Fine-Tuned Distilbert</t>
  </si>
  <si>
    <t>Fine-Tuned Roberta</t>
  </si>
  <si>
    <t xml:space="preserve"> Fine-Tuned Bert Tiny</t>
  </si>
  <si>
    <t>Bert Tiny</t>
  </si>
  <si>
    <t xml:space="preserve">@BigMoneyWithBigBallz we were the #1  STONK  in $spy last year  for the $Ai P MEGATREND!!!  RIGHT  NOW IS  FUCKING  STEAL!!!  $AAPL IS  GOING Ai  2025 aka  PALANTIR!!!  I might sell  when  the  TUTES  QUIT  BUYING!!! 
🏒🚀🚀🚀🚀🌙🍎📱🍎📱🍎📱🍎📱🍎🍏📲 
</t>
  </si>
  <si>
    <t>Chat GPT</t>
  </si>
  <si>
    <t>Neutral/Bearish</t>
  </si>
  <si>
    <t>Chat GPT O1</t>
  </si>
  <si>
    <t>Bearish/Neutral</t>
  </si>
  <si>
    <t>Chat GPT o1-mini V1</t>
  </si>
  <si>
    <t>Chat GPT o1-mini V2</t>
  </si>
  <si>
    <t>Bullish/Bearish</t>
  </si>
  <si>
    <t>Chat GPT o1-mini V1 break 1</t>
  </si>
  <si>
    <t>Chat GPT o1-mini V1 break 2</t>
  </si>
  <si>
    <t>Chat GPT o1-mini V2 break 1</t>
  </si>
  <si>
    <t>Chat GPT o1-mini V2 break 2</t>
  </si>
  <si>
    <t>Chat GPT O1 break 2</t>
  </si>
  <si>
    <t>Chat GPT O1 break 1</t>
  </si>
  <si>
    <t>Chat GPT-Bullish</t>
  </si>
  <si>
    <t>Chat GPT-Bearish</t>
  </si>
  <si>
    <t>Chat GPT-Neutral</t>
  </si>
  <si>
    <t>truth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</si>
</sst>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b/>
      <sz val="14"/>
      <color theme="5" tint="-0.249977111117893"/>
      <name val="Arial"/>
      <family val="2"/>
      <scheme val="minor"/>
    </font>
    <font>
      <b/>
      <sz val="14"/>
      <color theme="1" tint="0.249977111117893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0" fillId="33" borderId="17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0" fillId="33" borderId="20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0" fillId="33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13"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37A6-9295-4E01-892F-8C868A43F70C}">
  <dimension ref="A1:W11"/>
  <sheetViews>
    <sheetView rightToLeft="1" tabSelected="1" topLeftCell="B1" zoomScale="80" zoomScaleNormal="80" workbookViewId="0">
      <pane ySplit="1" topLeftCell="A2" activePane="bottomLeft" state="frozen"/>
      <selection activeCell="B1" sqref="B1"/>
      <selection pane="bottomLeft" activeCell="H4" sqref="H4"/>
    </sheetView>
  </sheetViews>
  <sheetFormatPr defaultColWidth="15.9140625" defaultRowHeight="83" customHeight="1" x14ac:dyDescent="0.3"/>
  <cols>
    <col min="1" max="1" width="0" hidden="1" customWidth="1"/>
    <col min="2" max="2" width="98.08203125" style="1" customWidth="1"/>
    <col min="3" max="3" width="0" hidden="1" customWidth="1"/>
    <col min="4" max="9" width="11.08203125" customWidth="1"/>
    <col min="10" max="11" width="11.08203125" hidden="1" customWidth="1"/>
    <col min="12" max="12" width="15.9140625" hidden="1" customWidth="1"/>
    <col min="13" max="14" width="11.08203125" hidden="1" customWidth="1"/>
    <col min="15" max="17" width="15.9140625" hidden="1" customWidth="1"/>
    <col min="18" max="18" width="0" hidden="1" customWidth="1"/>
    <col min="19" max="19" width="24.75" hidden="1" customWidth="1"/>
    <col min="20" max="21" width="24.1640625" hidden="1" customWidth="1"/>
    <col min="22" max="22" width="13.9140625" hidden="1" customWidth="1"/>
    <col min="23" max="23" width="13.9140625" customWidth="1"/>
  </cols>
  <sheetData>
    <row r="1" spans="1:23" s="6" customFormat="1" ht="57.5" customHeight="1" thickBot="1" x14ac:dyDescent="0.35">
      <c r="A1" s="6" t="s">
        <v>0</v>
      </c>
      <c r="B1" s="7" t="s">
        <v>1</v>
      </c>
      <c r="C1" s="8" t="s">
        <v>2</v>
      </c>
      <c r="D1" s="21" t="s">
        <v>30</v>
      </c>
      <c r="E1" s="9" t="s">
        <v>29</v>
      </c>
      <c r="F1" s="21" t="s">
        <v>3</v>
      </c>
      <c r="G1" s="9" t="s">
        <v>28</v>
      </c>
      <c r="H1" s="21" t="s">
        <v>4</v>
      </c>
      <c r="I1" s="12" t="s">
        <v>27</v>
      </c>
      <c r="J1" s="10" t="s">
        <v>39</v>
      </c>
      <c r="K1" s="9" t="s">
        <v>40</v>
      </c>
      <c r="L1" s="15" t="s">
        <v>36</v>
      </c>
      <c r="M1" s="10" t="s">
        <v>41</v>
      </c>
      <c r="N1" s="9" t="s">
        <v>42</v>
      </c>
      <c r="O1" s="15" t="s">
        <v>37</v>
      </c>
      <c r="P1" s="10" t="s">
        <v>44</v>
      </c>
      <c r="Q1" s="9" t="s">
        <v>43</v>
      </c>
      <c r="R1" s="12" t="s">
        <v>34</v>
      </c>
      <c r="S1" s="18" t="s">
        <v>45</v>
      </c>
      <c r="T1" s="18" t="s">
        <v>46</v>
      </c>
      <c r="U1" s="18" t="s">
        <v>47</v>
      </c>
      <c r="V1" s="22" t="s">
        <v>32</v>
      </c>
      <c r="W1" s="7" t="s">
        <v>48</v>
      </c>
    </row>
    <row r="2" spans="1:23" ht="57.5" customHeight="1" x14ac:dyDescent="0.3">
      <c r="A2">
        <v>600611392</v>
      </c>
      <c r="B2" s="4" t="s">
        <v>5</v>
      </c>
      <c r="C2" s="5" t="s">
        <v>6</v>
      </c>
      <c r="D2" s="5" t="s">
        <v>7</v>
      </c>
      <c r="E2" s="5" t="s">
        <v>7</v>
      </c>
      <c r="F2" s="5" t="s">
        <v>7</v>
      </c>
      <c r="G2" s="5" t="s">
        <v>7</v>
      </c>
      <c r="H2" s="5" t="s">
        <v>7</v>
      </c>
      <c r="I2" s="5" t="s">
        <v>7</v>
      </c>
      <c r="J2" s="11" t="str">
        <f>IF(ISNUMBER(FIND("/", L2)), MID(L2, FIND("/", L2)+1, LEN(L2)), L2)</f>
        <v>Bullish</v>
      </c>
      <c r="K2" s="5" t="str">
        <f>IF(ISNUMBER(FIND("/", L2)), LEFT(L2, FIND("/", L2)-1), L2)</f>
        <v>Bullish</v>
      </c>
      <c r="L2" s="16" t="s">
        <v>13</v>
      </c>
      <c r="M2" s="11" t="str">
        <f>IF(ISNUMBER(FIND("/", O2)), MID(O2, FIND("/", O2)+1, LEN(O2)), O2)</f>
        <v>Bullish</v>
      </c>
      <c r="N2" s="5" t="str">
        <f>IF(ISNUMBER(FIND("/", O2)), LEFT(O2, FIND("/", O2)-1), O2)</f>
        <v>Bullish</v>
      </c>
      <c r="O2" s="16" t="s">
        <v>13</v>
      </c>
      <c r="P2" s="11" t="str">
        <f>IF(ISNUMBER(FIND("/", R2)), MID(R2, FIND("/", R2)+1, LEN(R2)), R2)</f>
        <v>Bullish</v>
      </c>
      <c r="Q2" s="5" t="str">
        <f>IF(ISNUMBER(FIND("/", R2)), LEFT(R2, FIND("/", R2)-1), R2)</f>
        <v>Bullish</v>
      </c>
      <c r="R2" s="13" t="s">
        <v>13</v>
      </c>
      <c r="S2" s="19" t="str">
        <f>IF(IF(COUNTIF($P2:$Q2,"Bullish")&gt;0,1,0)+IF(COUNTIF($M2:$N2,"Bullish")&gt;0,1,0)+IF(COUNTIF($J2:$K2,"Bullish")&gt;0,1,0)&gt;=2,"Bullish","")</f>
        <v>Bullish</v>
      </c>
      <c r="T2" s="19" t="str">
        <f>IF(IF(COUNTIF($P2:$Q2,"Bearish")&gt;0,1,0)+IF(COUNTIF($M2:$N2,"Bearish")&gt;0,1,0)+IF(COUNTIF($J2:$K2,"Bearish")&gt;0,1,0)&gt;2,"Bearish","")</f>
        <v/>
      </c>
      <c r="U2" s="19" t="str">
        <f t="shared" ref="U2:U11" si="0">IF(IF(COUNTIF($P2:$Q2,"Neutral")&gt;0,1,0)+IF(COUNTIF($M2:$N2,"Neutral")&gt;0,1,0)+IF(COUNTIF($J2:$K2,"Neutral")&gt;0,1,0)&gt;=2,"Neutral","")</f>
        <v/>
      </c>
      <c r="V2" s="20" t="str">
        <f t="shared" ref="V2:V10" si="1">IF(AND(NOT(U2=""),NOT(T2=""),NOT(S2="")),CONCATENATE(U2,"/",T2,"/",S2),IF(AND(NOT(U2=""),NOT(T2="")),CONCATENATE(U2,"/",T2),IF(AND(NOT(T2=""),NOT(S2="")),CONCATENATE(T2,"/",S2),CONCATENATE(U2,T2,S2))))</f>
        <v>Bullish</v>
      </c>
      <c r="W2" s="5" t="s">
        <v>7</v>
      </c>
    </row>
    <row r="3" spans="1:23" ht="57.5" customHeight="1" x14ac:dyDescent="0.3">
      <c r="A3">
        <v>600611197</v>
      </c>
      <c r="B3" s="2" t="s">
        <v>9</v>
      </c>
      <c r="C3" s="3" t="s">
        <v>10</v>
      </c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7</v>
      </c>
      <c r="J3" s="11" t="str">
        <f t="shared" ref="J3:J11" si="2">IF(ISNUMBER(FIND("/", L3)), MID(L3, FIND("/", L3)+1, LEN(L3)), L3)</f>
        <v>Neutral</v>
      </c>
      <c r="K3" s="5" t="str">
        <f t="shared" ref="K3:K11" si="3">IF(ISNUMBER(FIND("/", L3)), LEFT(L3, FIND("/", L3)-1), L3)</f>
        <v>Neutral</v>
      </c>
      <c r="L3" s="17" t="s">
        <v>7</v>
      </c>
      <c r="M3" s="11" t="str">
        <f t="shared" ref="M3:M11" si="4">IF(ISNUMBER(FIND("/", O3)), MID(O3, FIND("/", O3)+1, LEN(O3)), O3)</f>
        <v>Neutral</v>
      </c>
      <c r="N3" s="5" t="str">
        <f t="shared" ref="N3:N11" si="5">IF(ISNUMBER(FIND("/", O3)), LEFT(O3, FIND("/", O3)-1), O3)</f>
        <v>Neutral</v>
      </c>
      <c r="O3" s="17" t="s">
        <v>7</v>
      </c>
      <c r="P3" s="11" t="str">
        <f t="shared" ref="P3:P11" si="6">IF(ISNUMBER(FIND("/", R3)), MID(R3, FIND("/", R3)+1, LEN(R3)), R3)</f>
        <v>Neutral</v>
      </c>
      <c r="Q3" s="5" t="str">
        <f t="shared" ref="Q3:Q11" si="7">IF(ISNUMBER(FIND("/", R3)), LEFT(R3, FIND("/", R3)-1), R3)</f>
        <v>Neutral</v>
      </c>
      <c r="R3" s="14" t="s">
        <v>7</v>
      </c>
      <c r="S3" s="19" t="str">
        <f t="shared" ref="S3:S10" si="8">IF(IF(COUNTIF($P3:$Q3,"Bullish")&gt;0,1,0)+IF(COUNTIF($M3:$N3,"Bullish")&gt;0,1,0)+IF(COUNTIF($J3:$K3,"Bullish")&gt;0,1,0)&gt;=2,"Bullish","")</f>
        <v/>
      </c>
      <c r="T3" s="19" t="str">
        <f t="shared" ref="T3:T10" si="9">IF(IF(COUNTIF($P3:$Q3,"Bearish")&gt;0,1,0)+IF(COUNTIF($M3:$N3,"Bearish")&gt;0,1,0)+IF(COUNTIF($J3:$K3,"Bearish")&gt;0,1,0)&gt;2,"Bearish","")</f>
        <v/>
      </c>
      <c r="U3" s="19" t="str">
        <f t="shared" si="0"/>
        <v>Neutral</v>
      </c>
      <c r="V3" s="20" t="str">
        <f t="shared" si="1"/>
        <v>Neutral</v>
      </c>
      <c r="W3" s="3" t="s">
        <v>7</v>
      </c>
    </row>
    <row r="4" spans="1:23" ht="57.5" customHeight="1" x14ac:dyDescent="0.3">
      <c r="A4">
        <v>600610880</v>
      </c>
      <c r="B4" s="2" t="s">
        <v>11</v>
      </c>
      <c r="C4" s="3" t="s">
        <v>12</v>
      </c>
      <c r="D4" s="5" t="s">
        <v>7</v>
      </c>
      <c r="E4" s="5" t="s">
        <v>8</v>
      </c>
      <c r="F4" s="5" t="s">
        <v>13</v>
      </c>
      <c r="G4" s="5" t="s">
        <v>8</v>
      </c>
      <c r="H4" s="5" t="s">
        <v>7</v>
      </c>
      <c r="I4" s="5" t="s">
        <v>8</v>
      </c>
      <c r="J4" s="11" t="str">
        <f t="shared" si="2"/>
        <v>Bullish</v>
      </c>
      <c r="K4" s="5" t="str">
        <f t="shared" si="3"/>
        <v>Bullish</v>
      </c>
      <c r="L4" s="17" t="s">
        <v>13</v>
      </c>
      <c r="M4" s="11" t="str">
        <f t="shared" si="4"/>
        <v>Neutral</v>
      </c>
      <c r="N4" s="5" t="str">
        <f t="shared" si="5"/>
        <v>Bearish</v>
      </c>
      <c r="O4" s="17" t="s">
        <v>35</v>
      </c>
      <c r="P4" s="11" t="str">
        <f t="shared" si="6"/>
        <v>Neutral</v>
      </c>
      <c r="Q4" s="5" t="str">
        <f t="shared" si="7"/>
        <v>Neutral</v>
      </c>
      <c r="R4" s="14" t="s">
        <v>7</v>
      </c>
      <c r="S4" s="19" t="str">
        <f t="shared" si="8"/>
        <v/>
      </c>
      <c r="T4" s="19" t="str">
        <f t="shared" si="9"/>
        <v/>
      </c>
      <c r="U4" s="19" t="str">
        <f t="shared" si="0"/>
        <v>Neutral</v>
      </c>
      <c r="V4" s="20" t="str">
        <f t="shared" si="1"/>
        <v>Neutral</v>
      </c>
      <c r="W4" s="3" t="s">
        <v>7</v>
      </c>
    </row>
    <row r="5" spans="1:23" ht="57.5" customHeight="1" x14ac:dyDescent="0.3">
      <c r="A5">
        <v>600610576</v>
      </c>
      <c r="B5" s="2" t="s">
        <v>14</v>
      </c>
      <c r="C5" s="3" t="s">
        <v>15</v>
      </c>
      <c r="D5" s="5" t="s">
        <v>7</v>
      </c>
      <c r="E5" s="5" t="s">
        <v>8</v>
      </c>
      <c r="F5" s="5" t="s">
        <v>13</v>
      </c>
      <c r="G5" s="5" t="s">
        <v>8</v>
      </c>
      <c r="H5" s="5" t="s">
        <v>7</v>
      </c>
      <c r="I5" s="5" t="s">
        <v>8</v>
      </c>
      <c r="J5" s="11" t="str">
        <f t="shared" si="2"/>
        <v>Bearish</v>
      </c>
      <c r="K5" s="5" t="str">
        <f t="shared" si="3"/>
        <v>Bearish</v>
      </c>
      <c r="L5" s="17" t="s">
        <v>8</v>
      </c>
      <c r="M5" s="11" t="str">
        <f t="shared" si="4"/>
        <v>Neutral</v>
      </c>
      <c r="N5" s="5" t="str">
        <f t="shared" si="5"/>
        <v>Bearish</v>
      </c>
      <c r="O5" s="17" t="s">
        <v>35</v>
      </c>
      <c r="P5" s="11" t="str">
        <f t="shared" si="6"/>
        <v>Bearish</v>
      </c>
      <c r="Q5" s="5" t="str">
        <f t="shared" si="7"/>
        <v>Bearish</v>
      </c>
      <c r="R5" s="14" t="s">
        <v>8</v>
      </c>
      <c r="S5" s="19" t="str">
        <f t="shared" si="8"/>
        <v/>
      </c>
      <c r="T5" s="19" t="str">
        <f t="shared" si="9"/>
        <v>Bearish</v>
      </c>
      <c r="U5" s="19" t="str">
        <f t="shared" si="0"/>
        <v/>
      </c>
      <c r="V5" s="20" t="str">
        <f t="shared" si="1"/>
        <v>Bearish</v>
      </c>
      <c r="W5" s="3" t="s">
        <v>8</v>
      </c>
    </row>
    <row r="6" spans="1:23" ht="57.5" customHeight="1" x14ac:dyDescent="0.3">
      <c r="A6">
        <v>600610535</v>
      </c>
      <c r="B6" s="2" t="s">
        <v>16</v>
      </c>
      <c r="C6" s="3" t="s">
        <v>17</v>
      </c>
      <c r="D6" s="5" t="s">
        <v>7</v>
      </c>
      <c r="E6" s="5" t="s">
        <v>13</v>
      </c>
      <c r="F6" s="5" t="s">
        <v>7</v>
      </c>
      <c r="G6" s="5" t="s">
        <v>13</v>
      </c>
      <c r="H6" s="5" t="s">
        <v>7</v>
      </c>
      <c r="I6" s="5" t="s">
        <v>13</v>
      </c>
      <c r="J6" s="11" t="str">
        <f t="shared" si="2"/>
        <v>Bearish</v>
      </c>
      <c r="K6" s="5" t="str">
        <f t="shared" si="3"/>
        <v>Bullish</v>
      </c>
      <c r="L6" s="17" t="s">
        <v>38</v>
      </c>
      <c r="M6" s="11" t="str">
        <f t="shared" si="4"/>
        <v>Bearish</v>
      </c>
      <c r="N6" s="5" t="str">
        <f t="shared" si="5"/>
        <v>Neutral</v>
      </c>
      <c r="O6" s="17" t="s">
        <v>33</v>
      </c>
      <c r="P6" s="11" t="str">
        <f t="shared" si="6"/>
        <v>Bearish</v>
      </c>
      <c r="Q6" s="5" t="str">
        <f t="shared" si="7"/>
        <v>Neutral</v>
      </c>
      <c r="R6" s="14" t="s">
        <v>33</v>
      </c>
      <c r="S6" s="19" t="str">
        <f t="shared" si="8"/>
        <v/>
      </c>
      <c r="T6" s="19" t="str">
        <f t="shared" si="9"/>
        <v>Bearish</v>
      </c>
      <c r="U6" s="19" t="str">
        <f t="shared" si="0"/>
        <v>Neutral</v>
      </c>
      <c r="V6" s="20" t="str">
        <f>IF(AND(NOT(U6=""),NOT(T6=""),NOT(S6="")),CONCATENATE(U6,"/",T6,"/",S6),IF(AND(NOT(U6=""),NOT(T6="")),CONCATENATE(U6,"/",T6),IF(AND(NOT(T6=""),NOT(S6="")),CONCATENATE(T6,"/",S6),CONCATENATE(U6,T6,S6))))</f>
        <v>Neutral/Bearish</v>
      </c>
      <c r="W6" s="3" t="s">
        <v>13</v>
      </c>
    </row>
    <row r="7" spans="1:23" ht="57.5" customHeight="1" x14ac:dyDescent="0.3">
      <c r="A7">
        <v>600609263</v>
      </c>
      <c r="B7" s="2" t="s">
        <v>18</v>
      </c>
      <c r="C7" s="3" t="s">
        <v>19</v>
      </c>
      <c r="D7" s="5" t="s">
        <v>8</v>
      </c>
      <c r="E7" s="5" t="s">
        <v>7</v>
      </c>
      <c r="F7" s="5" t="s">
        <v>7</v>
      </c>
      <c r="G7" s="5" t="s">
        <v>7</v>
      </c>
      <c r="H7" s="5" t="s">
        <v>7</v>
      </c>
      <c r="I7" s="5" t="s">
        <v>7</v>
      </c>
      <c r="J7" s="11" t="str">
        <f t="shared" si="2"/>
        <v>Bullish</v>
      </c>
      <c r="K7" s="5" t="str">
        <f t="shared" si="3"/>
        <v>Bullish</v>
      </c>
      <c r="L7" s="17" t="s">
        <v>13</v>
      </c>
      <c r="M7" s="11" t="str">
        <f t="shared" si="4"/>
        <v>Bullish</v>
      </c>
      <c r="N7" s="5" t="str">
        <f t="shared" si="5"/>
        <v>Bullish</v>
      </c>
      <c r="O7" s="17" t="s">
        <v>13</v>
      </c>
      <c r="P7" s="11" t="str">
        <f t="shared" si="6"/>
        <v>Neutral</v>
      </c>
      <c r="Q7" s="5" t="str">
        <f t="shared" si="7"/>
        <v>Neutral</v>
      </c>
      <c r="R7" s="14" t="s">
        <v>7</v>
      </c>
      <c r="S7" s="19" t="str">
        <f>IF(IF(COUNTIF($P7:$Q7,"Bullish")&gt;0,1,0)+IF(COUNTIF($M7:$N7,"Bullish")&gt;0,1,0)+IF(COUNTIF($J7:$K7,"Bullish")&gt;0,1,0)&gt;=2,"Bullish","")</f>
        <v>Bullish</v>
      </c>
      <c r="T7" s="19" t="str">
        <f>IF(IF(COUNTIF($P7:$Q7,"Bearish")&gt;0,1,0)+IF(COUNTIF($M7:$N7,"Bearish")&gt;0,1,0)+IF(COUNTIF($J7:$K7,"Bearish")&gt;0,1,0)&gt;2,"Bearish","")</f>
        <v/>
      </c>
      <c r="U7" s="19" t="str">
        <f t="shared" si="0"/>
        <v/>
      </c>
      <c r="V7" s="20" t="str">
        <f t="shared" si="1"/>
        <v>Bullish</v>
      </c>
      <c r="W7" s="3" t="s">
        <v>7</v>
      </c>
    </row>
    <row r="8" spans="1:23" ht="57.5" customHeight="1" x14ac:dyDescent="0.3">
      <c r="A8">
        <v>600604201</v>
      </c>
      <c r="B8" s="2" t="s">
        <v>20</v>
      </c>
      <c r="C8" s="3" t="s">
        <v>21</v>
      </c>
      <c r="D8" s="5" t="s">
        <v>7</v>
      </c>
      <c r="E8" s="5" t="s">
        <v>8</v>
      </c>
      <c r="F8" s="5" t="s">
        <v>7</v>
      </c>
      <c r="G8" s="5" t="s">
        <v>13</v>
      </c>
      <c r="H8" s="5" t="s">
        <v>7</v>
      </c>
      <c r="I8" s="5" t="s">
        <v>8</v>
      </c>
      <c r="J8" s="11" t="str">
        <f t="shared" si="2"/>
        <v>Bullish</v>
      </c>
      <c r="K8" s="5" t="str">
        <f t="shared" si="3"/>
        <v>Bullish</v>
      </c>
      <c r="L8" s="17" t="s">
        <v>13</v>
      </c>
      <c r="M8" s="11" t="str">
        <f t="shared" si="4"/>
        <v>Bullish</v>
      </c>
      <c r="N8" s="5" t="str">
        <f t="shared" si="5"/>
        <v>Bullish</v>
      </c>
      <c r="O8" s="17" t="s">
        <v>13</v>
      </c>
      <c r="P8" s="11" t="str">
        <f t="shared" si="6"/>
        <v>Bullish</v>
      </c>
      <c r="Q8" s="5" t="str">
        <f t="shared" si="7"/>
        <v>Bullish</v>
      </c>
      <c r="R8" s="14" t="s">
        <v>13</v>
      </c>
      <c r="S8" s="19" t="str">
        <f t="shared" si="8"/>
        <v>Bullish</v>
      </c>
      <c r="T8" s="19" t="str">
        <f t="shared" si="9"/>
        <v/>
      </c>
      <c r="U8" s="19" t="str">
        <f t="shared" si="0"/>
        <v/>
      </c>
      <c r="V8" s="20" t="str">
        <f t="shared" si="1"/>
        <v>Bullish</v>
      </c>
      <c r="W8" s="3" t="s">
        <v>7</v>
      </c>
    </row>
    <row r="9" spans="1:23" ht="57.5" customHeight="1" x14ac:dyDescent="0.3">
      <c r="A9">
        <v>600603865</v>
      </c>
      <c r="B9" s="2" t="s">
        <v>22</v>
      </c>
      <c r="C9" s="3" t="s">
        <v>23</v>
      </c>
      <c r="D9" s="5" t="s">
        <v>7</v>
      </c>
      <c r="E9" s="5" t="s">
        <v>13</v>
      </c>
      <c r="F9" s="5" t="s">
        <v>7</v>
      </c>
      <c r="G9" s="5" t="s">
        <v>13</v>
      </c>
      <c r="H9" s="5" t="s">
        <v>8</v>
      </c>
      <c r="I9" s="5" t="s">
        <v>13</v>
      </c>
      <c r="J9" s="11" t="str">
        <f t="shared" si="2"/>
        <v>Bearish</v>
      </c>
      <c r="K9" s="5" t="str">
        <f t="shared" si="3"/>
        <v>Bearish</v>
      </c>
      <c r="L9" s="17" t="s">
        <v>8</v>
      </c>
      <c r="M9" s="11" t="str">
        <f t="shared" si="4"/>
        <v>Neutral</v>
      </c>
      <c r="N9" s="5" t="str">
        <f t="shared" si="5"/>
        <v>Neutral</v>
      </c>
      <c r="O9" s="17" t="s">
        <v>7</v>
      </c>
      <c r="P9" s="11" t="str">
        <f t="shared" si="6"/>
        <v>Neutral</v>
      </c>
      <c r="Q9" s="5" t="str">
        <f t="shared" si="7"/>
        <v>Neutral</v>
      </c>
      <c r="R9" s="14" t="s">
        <v>7</v>
      </c>
      <c r="S9" s="19" t="str">
        <f t="shared" si="8"/>
        <v/>
      </c>
      <c r="T9" s="19" t="str">
        <f t="shared" si="9"/>
        <v/>
      </c>
      <c r="U9" s="19" t="str">
        <f t="shared" si="0"/>
        <v>Neutral</v>
      </c>
      <c r="V9" s="20" t="str">
        <f t="shared" si="1"/>
        <v>Neutral</v>
      </c>
      <c r="W9" s="3" t="s">
        <v>13</v>
      </c>
    </row>
    <row r="10" spans="1:23" ht="57.5" customHeight="1" x14ac:dyDescent="0.3">
      <c r="A10">
        <v>600603784</v>
      </c>
      <c r="B10" s="2" t="s">
        <v>24</v>
      </c>
      <c r="C10" s="3" t="s">
        <v>25</v>
      </c>
      <c r="D10" s="5" t="s">
        <v>7</v>
      </c>
      <c r="E10" s="5" t="s">
        <v>13</v>
      </c>
      <c r="F10" s="5" t="s">
        <v>7</v>
      </c>
      <c r="G10" s="5" t="s">
        <v>13</v>
      </c>
      <c r="H10" s="5" t="s">
        <v>7</v>
      </c>
      <c r="I10" s="5" t="s">
        <v>13</v>
      </c>
      <c r="J10" s="11" t="str">
        <f t="shared" si="2"/>
        <v>Bullish</v>
      </c>
      <c r="K10" s="5" t="str">
        <f t="shared" si="3"/>
        <v>Bullish</v>
      </c>
      <c r="L10" s="17" t="s">
        <v>13</v>
      </c>
      <c r="M10" s="11" t="str">
        <f t="shared" si="4"/>
        <v>Bullish</v>
      </c>
      <c r="N10" s="5" t="str">
        <f t="shared" si="5"/>
        <v>Bullish</v>
      </c>
      <c r="O10" s="17" t="s">
        <v>13</v>
      </c>
      <c r="P10" s="11" t="str">
        <f t="shared" si="6"/>
        <v>Neutral</v>
      </c>
      <c r="Q10" s="5" t="str">
        <f t="shared" si="7"/>
        <v>Neutral</v>
      </c>
      <c r="R10" s="14" t="s">
        <v>7</v>
      </c>
      <c r="S10" s="19" t="str">
        <f t="shared" si="8"/>
        <v>Bullish</v>
      </c>
      <c r="T10" s="19" t="str">
        <f t="shared" si="9"/>
        <v/>
      </c>
      <c r="U10" s="19" t="str">
        <f t="shared" si="0"/>
        <v/>
      </c>
      <c r="V10" s="20" t="str">
        <f t="shared" si="1"/>
        <v>Bullish</v>
      </c>
      <c r="W10" s="3" t="s">
        <v>13</v>
      </c>
    </row>
    <row r="11" spans="1:23" ht="57.5" customHeight="1" x14ac:dyDescent="0.3">
      <c r="A11">
        <v>600603422</v>
      </c>
      <c r="B11" s="2" t="s">
        <v>31</v>
      </c>
      <c r="C11" s="3" t="s">
        <v>26</v>
      </c>
      <c r="D11" s="5" t="s">
        <v>7</v>
      </c>
      <c r="E11" s="5" t="s">
        <v>13</v>
      </c>
      <c r="F11" s="5" t="s">
        <v>13</v>
      </c>
      <c r="G11" s="5" t="s">
        <v>13</v>
      </c>
      <c r="H11" s="5" t="s">
        <v>7</v>
      </c>
      <c r="I11" s="5" t="s">
        <v>8</v>
      </c>
      <c r="J11" s="11" t="str">
        <f t="shared" si="2"/>
        <v>Bullish</v>
      </c>
      <c r="K11" s="5" t="str">
        <f t="shared" si="3"/>
        <v>Bullish</v>
      </c>
      <c r="L11" s="17" t="s">
        <v>13</v>
      </c>
      <c r="M11" s="11" t="str">
        <f t="shared" si="4"/>
        <v>Bullish</v>
      </c>
      <c r="N11" s="5" t="str">
        <f t="shared" si="5"/>
        <v>Bullish</v>
      </c>
      <c r="O11" s="17" t="s">
        <v>13</v>
      </c>
      <c r="P11" s="11" t="str">
        <f t="shared" si="6"/>
        <v>Bullish</v>
      </c>
      <c r="Q11" s="5" t="str">
        <f t="shared" si="7"/>
        <v>Bullish</v>
      </c>
      <c r="R11" s="14" t="s">
        <v>13</v>
      </c>
      <c r="S11" s="19" t="str">
        <f>IF(IF(COUNTIF($P11:$Q11,"Bullish")&gt;0,1,0)+IF(COUNTIF($M11:$N11,"Bullish")&gt;0,1,0)+IF(COUNTIF($J11:$K11,"Bullish")&gt;0,1,0)&gt;=2,"Bullish","")</f>
        <v>Bullish</v>
      </c>
      <c r="T11" s="19" t="str">
        <f>IF(IF(COUNTIF($P11:$Q11,"Bearish")&gt;0,1,0)+IF(COUNTIF($M11:$N11,"Bearish")&gt;0,1,0)+IF(COUNTIF($J11:$K11,"Bearish")&gt;0,1,0)&gt;2,"Bearish","")</f>
        <v/>
      </c>
      <c r="U11" s="19" t="str">
        <f t="shared" si="0"/>
        <v/>
      </c>
      <c r="V11" s="20" t="str">
        <f>IF(AND(NOT(U11=""),NOT(T11=""),NOT(S11="")),CONCATENATE(U11,"/",T11,"/",S11),IF(AND(NOT(U11=""),NOT(T11="")),CONCATENATE(U11,"/",T11),IF(AND(NOT(T11=""),NOT(S11="")),CONCATENATE(T11,"/",S11),CONCATENATE(U11,T11,S11))))</f>
        <v>Bullish</v>
      </c>
      <c r="W11" s="3" t="s">
        <v>13</v>
      </c>
    </row>
  </sheetData>
  <phoneticPr fontId="19" type="noConversion"/>
  <conditionalFormatting sqref="D2:I11">
    <cfRule type="cellIs" dxfId="6" priority="2" operator="equal">
      <formula>$W2</formula>
    </cfRule>
    <cfRule type="expression" dxfId="5" priority="5" stopIfTrue="1">
      <formula>OR(D2=$S2,D2=$T2,D2=$U2)</formula>
    </cfRule>
    <cfRule type="expression" dxfId="4" priority="4">
      <formula>AND(NOT(D2=$W2),NOT(OR(D2=$S2,D2=$T2,D2=$U2)))</formula>
    </cfRule>
  </conditionalFormatting>
  <conditionalFormatting sqref="D2:I11">
    <cfRule type="expression" dxfId="3" priority="1">
      <formula>NOT(D2=$W2)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real time tweets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97252</dc:creator>
  <cp:lastModifiedBy>omermessika@outlook.co.il</cp:lastModifiedBy>
  <dcterms:created xsi:type="dcterms:W3CDTF">2025-01-18T18:10:07Z</dcterms:created>
  <dcterms:modified xsi:type="dcterms:W3CDTF">2025-01-31T06:38:12Z</dcterms:modified>
</cp:coreProperties>
</file>